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OSSAM\Foreign Sales\2026\"/>
    </mc:Choice>
  </mc:AlternateContent>
  <xr:revisionPtr revIDLastSave="0" documentId="13_ncr:1_{B35D36A1-E2E3-450D-8447-4048E6787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" sheetId="1" r:id="rId1"/>
  </sheets>
  <definedNames>
    <definedName name="_xlnm._FilterDatabase" localSheetId="0" hidden="1">Tracking!$F$1:$T$1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1" l="1"/>
  <c r="P33" i="1"/>
  <c r="Q33" i="1" s="1"/>
  <c r="O34" i="1"/>
  <c r="P34" i="1"/>
  <c r="Q34" i="1" s="1"/>
  <c r="O19" i="1"/>
  <c r="P19" i="1"/>
  <c r="Q19" i="1" s="1"/>
  <c r="O18" i="1"/>
  <c r="P18" i="1"/>
  <c r="Q18" i="1" s="1"/>
  <c r="A35" i="1"/>
  <c r="J35" i="1"/>
  <c r="K35" i="1"/>
  <c r="L35" i="1"/>
  <c r="R35" i="1"/>
  <c r="T35" i="1"/>
  <c r="V35" i="1"/>
  <c r="W35" i="1"/>
  <c r="O15" i="1"/>
  <c r="P15" i="1"/>
  <c r="Q15" i="1" s="1"/>
  <c r="O14" i="1"/>
  <c r="P14" i="1"/>
  <c r="Q14" i="1" s="1"/>
  <c r="O13" i="1"/>
  <c r="P13" i="1"/>
  <c r="Q13" i="1" s="1"/>
  <c r="O17" i="1"/>
  <c r="P17" i="1"/>
  <c r="Q17" i="1" s="1"/>
  <c r="O16" i="1"/>
  <c r="P16" i="1"/>
  <c r="Q16" i="1" s="1"/>
  <c r="O30" i="1"/>
  <c r="P30" i="1"/>
  <c r="Q30" i="1" s="1"/>
  <c r="O31" i="1"/>
  <c r="P31" i="1"/>
  <c r="Q31" i="1" s="1"/>
  <c r="O32" i="1"/>
  <c r="P32" i="1"/>
  <c r="Q32" i="1" s="1"/>
  <c r="O11" i="1"/>
  <c r="P11" i="1"/>
  <c r="Q11" i="1" s="1"/>
  <c r="O12" i="1"/>
  <c r="P12" i="1"/>
  <c r="Q12" i="1" s="1"/>
  <c r="O10" i="1" l="1"/>
  <c r="P10" i="1"/>
  <c r="Q10" i="1" s="1"/>
  <c r="O9" i="1"/>
  <c r="P9" i="1"/>
  <c r="Q9" i="1" s="1"/>
  <c r="O8" i="1"/>
  <c r="P8" i="1"/>
  <c r="Q8" i="1" s="1"/>
  <c r="O7" i="1"/>
  <c r="P7" i="1"/>
  <c r="Q7" i="1" s="1"/>
  <c r="O6" i="1"/>
  <c r="P6" i="1"/>
  <c r="Q6" i="1" s="1"/>
  <c r="O2" i="1"/>
  <c r="P2" i="1"/>
  <c r="Q2" i="1" s="1"/>
  <c r="O22" i="1"/>
  <c r="P22" i="1"/>
  <c r="Q22" i="1" s="1"/>
  <c r="O21" i="1"/>
  <c r="P21" i="1"/>
  <c r="Q21" i="1" s="1"/>
  <c r="O29" i="1"/>
  <c r="P29" i="1"/>
  <c r="Q29" i="1" s="1"/>
  <c r="O5" i="1"/>
  <c r="P5" i="1"/>
  <c r="Q5" i="1" s="1"/>
  <c r="O4" i="1"/>
  <c r="P4" i="1"/>
  <c r="Q4" i="1" s="1"/>
  <c r="O3" i="1"/>
  <c r="P3" i="1"/>
  <c r="Q3" i="1" s="1"/>
  <c r="O27" i="1"/>
  <c r="P27" i="1"/>
  <c r="Q27" i="1" s="1"/>
  <c r="O20" i="1"/>
  <c r="P20" i="1"/>
  <c r="Q20" i="1" s="1"/>
  <c r="O24" i="1" l="1"/>
  <c r="P24" i="1"/>
  <c r="Q24" i="1" s="1"/>
  <c r="O23" i="1"/>
  <c r="P23" i="1"/>
  <c r="Q23" i="1" s="1"/>
  <c r="O28" i="1" l="1"/>
  <c r="P28" i="1"/>
  <c r="Q28" i="1" s="1"/>
  <c r="O26" i="1"/>
  <c r="P26" i="1"/>
  <c r="Q26" i="1" s="1"/>
  <c r="O25" i="1" l="1"/>
  <c r="P25" i="1"/>
  <c r="Q25" i="1" s="1"/>
  <c r="O35" i="1" l="1"/>
</calcChain>
</file>

<file path=xl/sharedStrings.xml><?xml version="1.0" encoding="utf-8"?>
<sst xmlns="http://schemas.openxmlformats.org/spreadsheetml/2006/main" count="351" uniqueCount="96">
  <si>
    <t>Brand</t>
  </si>
  <si>
    <t>Customer</t>
  </si>
  <si>
    <t>POL</t>
  </si>
  <si>
    <t>POD</t>
  </si>
  <si>
    <t>QTY</t>
  </si>
  <si>
    <t>Sealine</t>
  </si>
  <si>
    <t>Type</t>
  </si>
  <si>
    <t>Docs</t>
  </si>
  <si>
    <t>VOL</t>
  </si>
  <si>
    <t>Amount</t>
  </si>
  <si>
    <t>Event</t>
  </si>
  <si>
    <t>BL-BK-CT</t>
  </si>
  <si>
    <t>Freight</t>
  </si>
  <si>
    <t>Freight
Amt</t>
  </si>
  <si>
    <t>ETA</t>
  </si>
  <si>
    <t>Released</t>
  </si>
  <si>
    <t>Days</t>
  </si>
  <si>
    <t>Paid</t>
  </si>
  <si>
    <t>Shipping</t>
  </si>
  <si>
    <t>Factory</t>
  </si>
  <si>
    <t>ETD</t>
  </si>
  <si>
    <t>Qingdao</t>
  </si>
  <si>
    <t>Enjoy</t>
  </si>
  <si>
    <t>Jebel Ali</t>
  </si>
  <si>
    <t>BL</t>
  </si>
  <si>
    <t>EGLV</t>
  </si>
  <si>
    <t>Rotalla</t>
  </si>
  <si>
    <t>Alamal</t>
  </si>
  <si>
    <t>SY-Alamal</t>
  </si>
  <si>
    <t>Aqaba</t>
  </si>
  <si>
    <t>ESPU</t>
  </si>
  <si>
    <t>Ho Chi Minh City</t>
  </si>
  <si>
    <t>Teng</t>
  </si>
  <si>
    <t>Fortune</t>
  </si>
  <si>
    <t>Prinx</t>
  </si>
  <si>
    <t>Laem Chabang</t>
  </si>
  <si>
    <t>Umm Qasr</t>
  </si>
  <si>
    <t>Royal</t>
  </si>
  <si>
    <t>Austone</t>
  </si>
  <si>
    <t>BK</t>
  </si>
  <si>
    <t>H</t>
  </si>
  <si>
    <t>Y</t>
  </si>
  <si>
    <t>Month</t>
  </si>
  <si>
    <t>Rahala</t>
  </si>
  <si>
    <t>Golden Crown</t>
  </si>
  <si>
    <t>S and T</t>
  </si>
  <si>
    <t>Shanghai</t>
  </si>
  <si>
    <t>MSCU</t>
  </si>
  <si>
    <t>Latakia</t>
  </si>
  <si>
    <t>Khawr Fakkan</t>
  </si>
  <si>
    <t>CULU</t>
  </si>
  <si>
    <t>Advance</t>
  </si>
  <si>
    <t>Samson</t>
  </si>
  <si>
    <t>New Vision</t>
  </si>
  <si>
    <t>Wissam</t>
  </si>
  <si>
    <t>177GATATQ3801V</t>
  </si>
  <si>
    <t>050600949611</t>
  </si>
  <si>
    <t>177GATATQ4044V</t>
  </si>
  <si>
    <t>Marshal</t>
  </si>
  <si>
    <t>Kumho</t>
  </si>
  <si>
    <t>Sharjah</t>
  </si>
  <si>
    <t>MEDUABA92998</t>
  </si>
  <si>
    <t>MEDUABC77342</t>
  </si>
  <si>
    <t>Extra</t>
  </si>
  <si>
    <t>TRTNTAO260001025</t>
  </si>
  <si>
    <t>EMIVKRESAL007978</t>
  </si>
  <si>
    <t>Busan</t>
  </si>
  <si>
    <t>CULVLCH2604783</t>
  </si>
  <si>
    <t>CULVLCH2604784</t>
  </si>
  <si>
    <t>CULVLCH2604785</t>
  </si>
  <si>
    <t>TRTNTAO260001084</t>
  </si>
  <si>
    <t>TRTNTAO260001085</t>
  </si>
  <si>
    <t>CULVLCH2605329</t>
  </si>
  <si>
    <t>CULVLCH2605330</t>
  </si>
  <si>
    <t>CULVLCH2605353</t>
  </si>
  <si>
    <t>CULVLCH2605354</t>
  </si>
  <si>
    <t>CULVLCH2605355</t>
  </si>
  <si>
    <t>AUG</t>
  </si>
  <si>
    <t>CULVTAO2613642</t>
  </si>
  <si>
    <t>CULVTAO2613641</t>
  </si>
  <si>
    <t>050601119531</t>
  </si>
  <si>
    <t>050601119590</t>
  </si>
  <si>
    <t>050600949696</t>
  </si>
  <si>
    <t>CULVLCH2605488</t>
  </si>
  <si>
    <t>CULVLCH2605489</t>
  </si>
  <si>
    <t>CULVSGN2602051</t>
  </si>
  <si>
    <t>CULVSGN2602052</t>
  </si>
  <si>
    <t>CULVSGN2602053</t>
  </si>
  <si>
    <t>CULVLCH2605692</t>
  </si>
  <si>
    <t>CULVLCH2605693</t>
  </si>
  <si>
    <t>EMIVVNESAL006916</t>
  </si>
  <si>
    <t>EMIVVNESAL006910</t>
  </si>
  <si>
    <t>EMIVVNESAL006648</t>
  </si>
  <si>
    <t>EMIVKRESAL008452</t>
  </si>
  <si>
    <t>PDF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</si>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</sst>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\ _د_._إ_._‏_-;\-* #,##0.00\ _د_._إ_._‏_-;_-* &quot;-&quot;??\ _د_._إ_._‏_-;_-@_-"/>
    <numFmt numFmtId="165" formatCode="[$-14C09]dd/mm/yyyy;@"/>
    <numFmt numFmtId="166" formatCode="#,##0_ ;[Red]\-#,##0\ "/>
    <numFmt numFmtId="167" formatCode="#,##0.00_ ;[Red]\-#,##0.00\ "/>
  </numFmts>
  <fonts count="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165" fontId="0" fillId="0" borderId="0"/>
    <xf numFmtId="164" fontId="2" fillId="0" borderId="0" applyFont="0" applyFill="0" applyBorder="0" applyAlignment="0" applyProtection="0"/>
    <xf numFmtId="0" fontId="4" fillId="0" borderId="0">
      <alignment vertical="center"/>
    </xf>
  </cellStyleXfs>
  <cellXfs count="14">
    <xf numFmtId="165" fontId="0" fillId="0" borderId="0" xfId="0"/>
    <xf numFmtId="0" fontId="0" fillId="0" borderId="0" xfId="0" applyNumberFormat="1" applyBorder="1" applyAlignment="1">
      <alignment horizontal="left" vertical="center"/>
    </xf>
    <xf numFmtId="0" fontId="0" fillId="0" borderId="0" xfId="0" applyNumberFormat="1" applyBorder="1" applyAlignment="1">
      <alignment horizontal="center" vertical="top"/>
    </xf>
    <xf numFmtId="14" fontId="0" fillId="0" borderId="0" xfId="0" applyNumberFormat="1" applyBorder="1" applyAlignment="1">
      <alignment horizontal="center" vertical="top"/>
    </xf>
    <xf numFmtId="0" fontId="0" fillId="0" borderId="0" xfId="0" applyNumberFormat="1" applyBorder="1" applyAlignment="1">
      <alignment horizontal="center" vertical="top" wrapText="1"/>
    </xf>
    <xf numFmtId="0" fontId="0" fillId="0" borderId="0" xfId="0" applyNumberFormat="1" applyFill="1" applyBorder="1" applyAlignment="1">
      <alignment horizontal="center" vertical="top"/>
    </xf>
    <xf numFmtId="0" fontId="0" fillId="0" borderId="0" xfId="0" applyNumberFormat="1" applyBorder="1"/>
    <xf numFmtId="0" fontId="0" fillId="0" borderId="0" xfId="0" applyNumberFormat="1" applyFill="1" applyBorder="1" applyAlignment="1">
      <alignment horizontal="left" vertical="center"/>
    </xf>
    <xf numFmtId="14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4" fontId="0" fillId="0" borderId="0" xfId="0" applyNumberFormat="1" applyBorder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</cellXfs>
  <cellStyles count="3">
    <cellStyle name="Comma 2" xfId="1" xr:uid="{00000000-0005-0000-0000-000000000000}"/>
    <cellStyle name="Normal" xfId="0" builtinId="0"/>
    <cellStyle name="常规 2 4 2" xfId="2" xr:uid="{E98E0F17-9036-4625-819B-0A14D5EE7B9F}"/>
  </cellStyles>
  <dxfs count="51">
    <dxf>
      <font>
        <color rgb="FF7030A0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_ ;[Red]\-#,##0.00\ 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_ ;[Red]\-#,##0.00\ 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#,##0_ ;[Red]\-#,##0\ "/>
      <alignment horizontal="left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AD4B06B-B036-41DC-BCFE-BA528EFFF3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35" totalsRowCount="1" headerRowDxfId="50" dataDxfId="49" totalsRowDxfId="48">
  <autoFilter ref="A1:W34" xr:uid="{00000000-000C-0000-FFFF-FFFF00000000}"/>
  <sortState xmlns:xlrd2="http://schemas.microsoft.com/office/spreadsheetml/2017/richdata2" ref="A2:W34">
    <sortCondition ref="D1:D34"/>
  </sortState>
  <tableColumns count="23">
    <tableColumn id="22" xr3:uid="{00000000-0010-0000-0000-000016000000}" name="BL-BK-CT" totalsRowFunction="count" dataDxfId="47" totalsRowDxfId="46"/>
    <tableColumn id="23" xr3:uid="{00000000-0010-0000-0000-000017000000}" name="Sealine" dataDxfId="45" totalsRowDxfId="44"/>
    <tableColumn id="24" xr3:uid="{00000000-0010-0000-0000-000018000000}" name="Type" dataDxfId="43" totalsRowDxfId="42"/>
    <tableColumn id="15" xr3:uid="{843CB63B-D630-4BE9-8CE5-67A8E7615934}" name="ETA" dataDxfId="41" totalsRowDxfId="40"/>
    <tableColumn id="26" xr3:uid="{00000000-0010-0000-0000-00001A000000}" name="ETD" dataDxfId="39" totalsRowDxfId="38"/>
    <tableColumn id="1" xr3:uid="{00000000-0010-0000-0000-000001000000}" name="Brand" dataDxfId="37" totalsRowDxfId="36"/>
    <tableColumn id="7" xr3:uid="{00000000-0010-0000-0000-000007000000}" name="Customer" dataDxfId="35" totalsRowDxfId="34"/>
    <tableColumn id="2" xr3:uid="{00000000-0010-0000-0000-000002000000}" name="POL" dataDxfId="33" totalsRowDxfId="32"/>
    <tableColumn id="3" xr3:uid="{00000000-0010-0000-0000-000003000000}" name="POD" dataDxfId="31" totalsRowDxfId="30"/>
    <tableColumn id="4" xr3:uid="{00000000-0010-0000-0000-000004000000}" name="VOL" totalsRowFunction="sum" dataDxfId="29" totalsRowDxfId="28"/>
    <tableColumn id="6" xr3:uid="{00000000-0010-0000-0000-000006000000}" name="QTY" totalsRowFunction="sum" dataDxfId="27" totalsRowDxfId="26"/>
    <tableColumn id="5" xr3:uid="{00000000-0010-0000-0000-000005000000}" name="Amount" totalsRowFunction="sum" dataDxfId="25" totalsRowDxfId="24"/>
    <tableColumn id="9" xr3:uid="{00000000-0010-0000-0000-000009000000}" name="Freight" dataDxfId="23" totalsRowDxfId="22"/>
    <tableColumn id="18" xr3:uid="{069A66B5-010B-4FBD-8723-A7D801FBC3CC}" name="Extra" dataDxfId="21" totalsRowDxfId="20"/>
    <tableColumn id="10" xr3:uid="{00000000-0010-0000-0000-00000A000000}" name="Freight_x000a_Amt" totalsRowFunction="sum" dataDxfId="19" totalsRowDxfId="18">
      <calculatedColumnFormula>J2*M2+Table1[[#This Row],[Extra]]</calculatedColumnFormula>
    </tableColumn>
    <tableColumn id="16" xr3:uid="{00000000-0010-0000-0000-000010000000}" name="Days" dataDxfId="17" totalsRowDxfId="16">
      <calculatedColumnFormula>_xlfn.DAYS(TODAY(),D2)</calculatedColumnFormula>
    </tableColumn>
    <tableColumn id="27" xr3:uid="{00000000-0010-0000-0000-00001B000000}" name="Event" dataDxfId="15" totalsRowDxfId="14">
      <calculatedColumnFormula>IF(Table1[[#This Row],[Days]]&gt;=0,"Discharged","")</calculatedColumnFormula>
    </tableColumn>
    <tableColumn id="17" xr3:uid="{00000000-0010-0000-0000-000011000000}" name="Released" totalsRowFunction="count" dataDxfId="13" totalsRowDxfId="12"/>
    <tableColumn id="8" xr3:uid="{0383F3E1-D9A3-448D-9FB3-F792ACB62869}" name="Month" dataDxfId="11" totalsRowDxfId="10"/>
    <tableColumn id="13" xr3:uid="{00000000-0010-0000-0000-00000D000000}" name="Shipping" totalsRowFunction="count" dataDxfId="9" totalsRowDxfId="8"/>
    <tableColumn id="12" xr3:uid="{00000000-0010-0000-0000-00000C000000}" name="Factory" dataDxfId="7" totalsRowDxfId="6"/>
    <tableColumn id="21" xr3:uid="{00000000-0010-0000-0000-000015000000}" name="Paid" totalsRowFunction="count" dataDxfId="5" totalsRowDxfId="4"/>
    <tableColumn id="11" xr3:uid="{00000000-0010-0000-0000-00000B000000}" name="Docs" totalsRowFunction="count" dataDxfId="3" totalsRow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5"/>
  <sheetViews>
    <sheetView showGridLines="0" tabSelected="1" zoomScaleNormal="100" workbookViewId="0">
      <pane ySplit="1" topLeftCell="A2" activePane="bottomLeft" state="frozen"/>
      <selection activeCell="K174" sqref="K174"/>
      <selection pane="bottomLeft" activeCell="A35" sqref="A35:XFD167"/>
    </sheetView>
  </sheetViews>
  <sheetFormatPr defaultRowHeight="15"/>
  <cols>
    <col min="1" max="1" width="19.85546875" style="6" bestFit="1" customWidth="1"/>
    <col min="2" max="2" width="12.140625" style="6" customWidth="1"/>
    <col min="3" max="3" width="9.85546875" style="6" customWidth="1"/>
    <col min="4" max="5" width="10.7109375" style="6" customWidth="1"/>
    <col min="6" max="6" width="13.7109375" style="6" customWidth="1"/>
    <col min="7" max="7" width="14.140625" style="6" customWidth="1"/>
    <col min="8" max="8" width="15.7109375" style="6" customWidth="1"/>
    <col min="9" max="9" width="14.42578125" style="6" bestFit="1" customWidth="1"/>
    <col min="10" max="11" width="9.140625" style="6" customWidth="1"/>
    <col min="12" max="12" width="13.28515625" style="6" customWidth="1"/>
    <col min="13" max="13" width="11.85546875" style="6" customWidth="1"/>
    <col min="14" max="14" width="10" style="6" bestFit="1" customWidth="1"/>
    <col min="15" max="15" width="12.140625" style="6" bestFit="1" customWidth="1"/>
    <col min="16" max="16" width="9.7109375" style="6" customWidth="1"/>
    <col min="17" max="17" width="10.7109375" style="6" bestFit="1" customWidth="1"/>
    <col min="18" max="18" width="13.7109375" style="6" customWidth="1"/>
    <col min="19" max="19" width="11.5703125" style="6" bestFit="1" customWidth="1"/>
    <col min="20" max="20" width="13.28515625" style="9" customWidth="1"/>
    <col min="21" max="21" width="12" style="6" bestFit="1" customWidth="1"/>
    <col min="22" max="22" width="10.7109375" style="6" bestFit="1" customWidth="1"/>
    <col min="23" max="23" width="9.7109375" style="6" bestFit="1" customWidth="1"/>
    <col min="24" max="16384" width="9.140625" style="6"/>
  </cols>
  <sheetData>
    <row r="1" spans="1:23" ht="30">
      <c r="A1" s="2" t="s">
        <v>11</v>
      </c>
      <c r="B1" s="2" t="s">
        <v>5</v>
      </c>
      <c r="C1" s="2" t="s">
        <v>6</v>
      </c>
      <c r="D1" s="3" t="s">
        <v>14</v>
      </c>
      <c r="E1" s="3" t="s">
        <v>20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8</v>
      </c>
      <c r="K1" s="2" t="s">
        <v>4</v>
      </c>
      <c r="L1" s="4" t="s">
        <v>9</v>
      </c>
      <c r="M1" s="4" t="s">
        <v>12</v>
      </c>
      <c r="N1" s="4" t="s">
        <v>63</v>
      </c>
      <c r="O1" s="4" t="s">
        <v>13</v>
      </c>
      <c r="P1" s="4" t="s">
        <v>16</v>
      </c>
      <c r="Q1" s="4" t="s">
        <v>10</v>
      </c>
      <c r="R1" s="4" t="s">
        <v>15</v>
      </c>
      <c r="S1" s="4" t="s">
        <v>42</v>
      </c>
      <c r="T1" s="5" t="s">
        <v>18</v>
      </c>
      <c r="U1" s="2" t="s">
        <v>19</v>
      </c>
      <c r="V1" s="2" t="s">
        <v>17</v>
      </c>
      <c r="W1" s="2" t="s">
        <v>7</v>
      </c>
    </row>
    <row r="2" spans="1:23">
      <c r="A2" s="10" t="s">
        <v>92</v>
      </c>
      <c r="B2" s="1" t="s">
        <v>30</v>
      </c>
      <c r="C2" s="1" t="s">
        <v>39</v>
      </c>
      <c r="D2" s="8">
        <v>46302</v>
      </c>
      <c r="E2" s="8">
        <v>46281</v>
      </c>
      <c r="F2" s="1" t="s">
        <v>58</v>
      </c>
      <c r="G2" s="1" t="s">
        <v>27</v>
      </c>
      <c r="H2" s="1" t="s">
        <v>31</v>
      </c>
      <c r="I2" s="1" t="s">
        <v>60</v>
      </c>
      <c r="J2" s="1">
        <v>1</v>
      </c>
      <c r="K2" s="1">
        <v>814</v>
      </c>
      <c r="L2" s="1">
        <v>41744.92</v>
      </c>
      <c r="M2" s="1"/>
      <c r="N2" s="1">
        <v>2549</v>
      </c>
      <c r="O2" s="1">
        <f>J2*M2+Table1[[#This Row],[Extra]]</f>
        <v>2549</v>
      </c>
      <c r="P2" s="1">
        <f t="shared" ref="P2:P34" ca="1" si="0">_xlfn.DAYS(TODAY(),D2)</f>
        <v>6</v>
      </c>
      <c r="Q2" s="1" t="str">
        <f ca="1">IF(Table1[[#This Row],[Days]]&gt;=0,"Discharged","")</f>
        <v>Discharged</v>
      </c>
      <c r="R2" s="8">
        <v>46296</v>
      </c>
      <c r="S2" s="8"/>
      <c r="T2" s="7"/>
      <c r="U2" s="1" t="s">
        <v>59</v>
      </c>
      <c r="V2" s="8"/>
      <c r="W2" s="1" t="s">
        <v>40</v>
      </c>
    </row>
    <row r="3" spans="1:23">
      <c r="A3" s="10" t="s">
        <v>67</v>
      </c>
      <c r="B3" s="1" t="s">
        <v>50</v>
      </c>
      <c r="C3" s="1" t="s">
        <v>24</v>
      </c>
      <c r="D3" s="8">
        <v>46305</v>
      </c>
      <c r="E3" s="8">
        <v>46265</v>
      </c>
      <c r="F3" s="1" t="s">
        <v>34</v>
      </c>
      <c r="G3" s="1" t="s">
        <v>27</v>
      </c>
      <c r="H3" s="1" t="s">
        <v>35</v>
      </c>
      <c r="I3" s="1" t="s">
        <v>23</v>
      </c>
      <c r="J3" s="1">
        <v>5</v>
      </c>
      <c r="K3" s="1">
        <v>3575</v>
      </c>
      <c r="L3" s="1">
        <v>188983.7</v>
      </c>
      <c r="M3" s="1">
        <v>7200</v>
      </c>
      <c r="N3" s="1"/>
      <c r="O3" s="1">
        <f>J3*M3+Table1[[#This Row],[Extra]]</f>
        <v>36000</v>
      </c>
      <c r="P3" s="1">
        <f t="shared" ca="1" si="0"/>
        <v>3</v>
      </c>
      <c r="Q3" s="1" t="str">
        <f ca="1">IF(Table1[[#This Row],[Days]]&gt;=0,"Discharged","")</f>
        <v>Discharged</v>
      </c>
      <c r="R3" s="8">
        <v>46295</v>
      </c>
      <c r="S3" s="8" t="s">
        <v>77</v>
      </c>
      <c r="T3" s="7" t="s">
        <v>45</v>
      </c>
      <c r="U3" s="1" t="s">
        <v>32</v>
      </c>
      <c r="V3" s="8"/>
      <c r="W3" s="1" t="s">
        <v>40</v>
      </c>
    </row>
    <row r="4" spans="1:23">
      <c r="A4" s="10" t="s">
        <v>68</v>
      </c>
      <c r="B4" s="1" t="s">
        <v>50</v>
      </c>
      <c r="C4" s="1" t="s">
        <v>24</v>
      </c>
      <c r="D4" s="8">
        <v>46305</v>
      </c>
      <c r="E4" s="8">
        <v>46265</v>
      </c>
      <c r="F4" s="1" t="s">
        <v>34</v>
      </c>
      <c r="G4" s="1" t="s">
        <v>27</v>
      </c>
      <c r="H4" s="1" t="s">
        <v>35</v>
      </c>
      <c r="I4" s="1" t="s">
        <v>23</v>
      </c>
      <c r="J4" s="1">
        <v>5</v>
      </c>
      <c r="K4" s="1">
        <v>5332</v>
      </c>
      <c r="L4" s="1">
        <v>167251.13</v>
      </c>
      <c r="M4" s="1">
        <v>7200</v>
      </c>
      <c r="N4" s="1"/>
      <c r="O4" s="1">
        <f>J4*M4+Table1[[#This Row],[Extra]]</f>
        <v>36000</v>
      </c>
      <c r="P4" s="1">
        <f t="shared" ca="1" si="0"/>
        <v>3</v>
      </c>
      <c r="Q4" s="1" t="str">
        <f ca="1">IF(Table1[[#This Row],[Days]]&gt;=0,"Discharged","")</f>
        <v>Discharged</v>
      </c>
      <c r="R4" s="8">
        <v>46295</v>
      </c>
      <c r="S4" s="8" t="s">
        <v>77</v>
      </c>
      <c r="T4" s="7" t="s">
        <v>45</v>
      </c>
      <c r="U4" s="1" t="s">
        <v>32</v>
      </c>
      <c r="V4" s="8"/>
      <c r="W4" s="1" t="s">
        <v>40</v>
      </c>
    </row>
    <row r="5" spans="1:23">
      <c r="A5" s="10" t="s">
        <v>69</v>
      </c>
      <c r="B5" s="1" t="s">
        <v>50</v>
      </c>
      <c r="C5" s="1" t="s">
        <v>24</v>
      </c>
      <c r="D5" s="8">
        <v>46305</v>
      </c>
      <c r="E5" s="8">
        <v>46265</v>
      </c>
      <c r="F5" s="1" t="s">
        <v>34</v>
      </c>
      <c r="G5" s="1" t="s">
        <v>27</v>
      </c>
      <c r="H5" s="1" t="s">
        <v>35</v>
      </c>
      <c r="I5" s="1" t="s">
        <v>23</v>
      </c>
      <c r="J5" s="1">
        <v>5</v>
      </c>
      <c r="K5" s="1">
        <v>4016</v>
      </c>
      <c r="L5" s="1">
        <v>151254.98000000001</v>
      </c>
      <c r="M5" s="1">
        <v>7200</v>
      </c>
      <c r="N5" s="1"/>
      <c r="O5" s="1">
        <f>J5*M5+Table1[[#This Row],[Extra]]</f>
        <v>36000</v>
      </c>
      <c r="P5" s="1">
        <f t="shared" ca="1" si="0"/>
        <v>3</v>
      </c>
      <c r="Q5" s="1" t="str">
        <f ca="1">IF(Table1[[#This Row],[Days]]&gt;=0,"Discharged","")</f>
        <v>Discharged</v>
      </c>
      <c r="R5" s="8">
        <v>46295</v>
      </c>
      <c r="S5" s="8" t="s">
        <v>77</v>
      </c>
      <c r="T5" s="7" t="s">
        <v>45</v>
      </c>
      <c r="U5" s="1" t="s">
        <v>32</v>
      </c>
      <c r="V5" s="8"/>
      <c r="W5" s="1" t="s">
        <v>40</v>
      </c>
    </row>
    <row r="6" spans="1:23">
      <c r="A6" s="10" t="s">
        <v>72</v>
      </c>
      <c r="B6" s="1" t="s">
        <v>50</v>
      </c>
      <c r="C6" s="1" t="s">
        <v>24</v>
      </c>
      <c r="D6" s="8">
        <v>46305</v>
      </c>
      <c r="E6" s="8">
        <v>46282</v>
      </c>
      <c r="F6" s="1" t="s">
        <v>34</v>
      </c>
      <c r="G6" s="1" t="s">
        <v>27</v>
      </c>
      <c r="H6" s="1" t="s">
        <v>35</v>
      </c>
      <c r="I6" s="1" t="s">
        <v>23</v>
      </c>
      <c r="J6" s="1">
        <v>5</v>
      </c>
      <c r="K6" s="1">
        <v>4104</v>
      </c>
      <c r="L6" s="1">
        <v>152664.20000000001</v>
      </c>
      <c r="M6" s="1">
        <v>8600</v>
      </c>
      <c r="N6" s="1"/>
      <c r="O6" s="1">
        <f>J6*M6+Table1[[#This Row],[Extra]]</f>
        <v>43000</v>
      </c>
      <c r="P6" s="1">
        <f t="shared" ca="1" si="0"/>
        <v>3</v>
      </c>
      <c r="Q6" s="1" t="str">
        <f ca="1">IF(Table1[[#This Row],[Days]]&gt;=0,"Discharged","")</f>
        <v>Discharged</v>
      </c>
      <c r="R6" s="8">
        <v>46304</v>
      </c>
      <c r="S6" s="8" t="s">
        <v>95</v>
      </c>
      <c r="T6" s="7" t="s">
        <v>45</v>
      </c>
      <c r="U6" s="1" t="s">
        <v>32</v>
      </c>
      <c r="V6" s="8"/>
      <c r="W6" s="1"/>
    </row>
    <row r="7" spans="1:23">
      <c r="A7" s="10" t="s">
        <v>73</v>
      </c>
      <c r="B7" s="1" t="s">
        <v>50</v>
      </c>
      <c r="C7" s="1" t="s">
        <v>24</v>
      </c>
      <c r="D7" s="8">
        <v>46305</v>
      </c>
      <c r="E7" s="8">
        <v>46282</v>
      </c>
      <c r="F7" s="1" t="s">
        <v>34</v>
      </c>
      <c r="G7" s="1" t="s">
        <v>27</v>
      </c>
      <c r="H7" s="1" t="s">
        <v>35</v>
      </c>
      <c r="I7" s="1" t="s">
        <v>23</v>
      </c>
      <c r="J7" s="1">
        <v>5</v>
      </c>
      <c r="K7" s="1">
        <v>3863</v>
      </c>
      <c r="L7" s="1">
        <v>147874.32999999999</v>
      </c>
      <c r="M7" s="1">
        <v>8600</v>
      </c>
      <c r="N7" s="1"/>
      <c r="O7" s="1">
        <f>J7*M7+Table1[[#This Row],[Extra]]</f>
        <v>43000</v>
      </c>
      <c r="P7" s="1">
        <f t="shared" ca="1" si="0"/>
        <v>3</v>
      </c>
      <c r="Q7" s="1" t="str">
        <f ca="1">IF(Table1[[#This Row],[Days]]&gt;=0,"Discharged","")</f>
        <v>Discharged</v>
      </c>
      <c r="R7" s="8">
        <v>46304</v>
      </c>
      <c r="S7" s="8" t="s">
        <v>95</v>
      </c>
      <c r="T7" s="7" t="s">
        <v>45</v>
      </c>
      <c r="U7" s="1" t="s">
        <v>32</v>
      </c>
      <c r="V7" s="8"/>
      <c r="W7" s="1"/>
    </row>
    <row r="8" spans="1:23">
      <c r="A8" s="10" t="s">
        <v>74</v>
      </c>
      <c r="B8" s="1" t="s">
        <v>50</v>
      </c>
      <c r="C8" s="1" t="s">
        <v>24</v>
      </c>
      <c r="D8" s="8">
        <v>46305</v>
      </c>
      <c r="E8" s="8">
        <v>46282</v>
      </c>
      <c r="F8" s="1" t="s">
        <v>34</v>
      </c>
      <c r="G8" s="1" t="s">
        <v>27</v>
      </c>
      <c r="H8" s="1" t="s">
        <v>35</v>
      </c>
      <c r="I8" s="1" t="s">
        <v>23</v>
      </c>
      <c r="J8" s="1">
        <v>5</v>
      </c>
      <c r="K8" s="1">
        <v>870</v>
      </c>
      <c r="L8" s="1">
        <v>163602.62</v>
      </c>
      <c r="M8" s="1">
        <v>8600</v>
      </c>
      <c r="N8" s="1"/>
      <c r="O8" s="1">
        <f>J8*M8+Table1[[#This Row],[Extra]]</f>
        <v>43000</v>
      </c>
      <c r="P8" s="1">
        <f t="shared" ca="1" si="0"/>
        <v>3</v>
      </c>
      <c r="Q8" s="1" t="str">
        <f ca="1">IF(Table1[[#This Row],[Days]]&gt;=0,"Discharged","")</f>
        <v>Discharged</v>
      </c>
      <c r="R8" s="8">
        <v>46304</v>
      </c>
      <c r="S8" s="8" t="s">
        <v>95</v>
      </c>
      <c r="T8" s="7" t="s">
        <v>45</v>
      </c>
      <c r="U8" s="1" t="s">
        <v>32</v>
      </c>
      <c r="V8" s="8"/>
      <c r="W8" s="1"/>
    </row>
    <row r="9" spans="1:23">
      <c r="A9" s="10" t="s">
        <v>75</v>
      </c>
      <c r="B9" s="1" t="s">
        <v>50</v>
      </c>
      <c r="C9" s="1" t="s">
        <v>24</v>
      </c>
      <c r="D9" s="8">
        <v>46305</v>
      </c>
      <c r="E9" s="8">
        <v>46282</v>
      </c>
      <c r="F9" s="1" t="s">
        <v>34</v>
      </c>
      <c r="G9" s="1" t="s">
        <v>27</v>
      </c>
      <c r="H9" s="1" t="s">
        <v>35</v>
      </c>
      <c r="I9" s="1" t="s">
        <v>23</v>
      </c>
      <c r="J9" s="1">
        <v>5</v>
      </c>
      <c r="K9" s="1">
        <v>1691</v>
      </c>
      <c r="L9" s="1">
        <v>168022.67</v>
      </c>
      <c r="M9" s="1">
        <v>8600</v>
      </c>
      <c r="N9" s="1"/>
      <c r="O9" s="1">
        <f>J9*M9+Table1[[#This Row],[Extra]]</f>
        <v>43000</v>
      </c>
      <c r="P9" s="1">
        <f t="shared" ca="1" si="0"/>
        <v>3</v>
      </c>
      <c r="Q9" s="1" t="str">
        <f ca="1">IF(Table1[[#This Row],[Days]]&gt;=0,"Discharged","")</f>
        <v>Discharged</v>
      </c>
      <c r="R9" s="8">
        <v>46304</v>
      </c>
      <c r="S9" s="8" t="s">
        <v>95</v>
      </c>
      <c r="T9" s="7" t="s">
        <v>45</v>
      </c>
      <c r="U9" s="1" t="s">
        <v>32</v>
      </c>
      <c r="V9" s="8"/>
      <c r="W9" s="1"/>
    </row>
    <row r="10" spans="1:23">
      <c r="A10" s="10" t="s">
        <v>76</v>
      </c>
      <c r="B10" s="1" t="s">
        <v>50</v>
      </c>
      <c r="C10" s="1" t="s">
        <v>24</v>
      </c>
      <c r="D10" s="8">
        <v>46305</v>
      </c>
      <c r="E10" s="8">
        <v>46282</v>
      </c>
      <c r="F10" s="1" t="s">
        <v>34</v>
      </c>
      <c r="G10" s="1" t="s">
        <v>27</v>
      </c>
      <c r="H10" s="1" t="s">
        <v>35</v>
      </c>
      <c r="I10" s="1" t="s">
        <v>23</v>
      </c>
      <c r="J10" s="1">
        <v>4</v>
      </c>
      <c r="K10" s="1">
        <v>2322</v>
      </c>
      <c r="L10" s="1">
        <v>121133.69</v>
      </c>
      <c r="M10" s="1">
        <v>8600</v>
      </c>
      <c r="N10" s="1"/>
      <c r="O10" s="1">
        <f>J10*M10+Table1[[#This Row],[Extra]]</f>
        <v>34400</v>
      </c>
      <c r="P10" s="1">
        <f t="shared" ca="1" si="0"/>
        <v>3</v>
      </c>
      <c r="Q10" s="1" t="str">
        <f ca="1">IF(Table1[[#This Row],[Days]]&gt;=0,"Discharged","")</f>
        <v>Discharged</v>
      </c>
      <c r="R10" s="8">
        <v>46304</v>
      </c>
      <c r="S10" s="8" t="s">
        <v>95</v>
      </c>
      <c r="T10" s="7" t="s">
        <v>45</v>
      </c>
      <c r="U10" s="1" t="s">
        <v>32</v>
      </c>
      <c r="V10" s="8"/>
      <c r="W10" s="1"/>
    </row>
    <row r="11" spans="1:23">
      <c r="A11" s="10" t="s">
        <v>79</v>
      </c>
      <c r="B11" s="1" t="s">
        <v>50</v>
      </c>
      <c r="C11" s="1" t="s">
        <v>24</v>
      </c>
      <c r="D11" s="8">
        <v>46305</v>
      </c>
      <c r="E11" s="8">
        <v>46282</v>
      </c>
      <c r="F11" s="1" t="s">
        <v>26</v>
      </c>
      <c r="G11" s="1" t="s">
        <v>27</v>
      </c>
      <c r="H11" s="1" t="s">
        <v>21</v>
      </c>
      <c r="I11" s="1" t="s">
        <v>49</v>
      </c>
      <c r="J11" s="1">
        <v>3</v>
      </c>
      <c r="K11" s="1">
        <v>2502</v>
      </c>
      <c r="L11" s="1"/>
      <c r="M11" s="1">
        <v>7850</v>
      </c>
      <c r="N11" s="1"/>
      <c r="O11" s="1">
        <f>J11*M11+Table1[[#This Row],[Extra]]</f>
        <v>23550</v>
      </c>
      <c r="P11" s="1">
        <f t="shared" ca="1" si="0"/>
        <v>3</v>
      </c>
      <c r="Q11" s="1" t="str">
        <f ca="1">IF(Table1[[#This Row],[Days]]&gt;=0,"Discharged","")</f>
        <v>Discharged</v>
      </c>
      <c r="R11" s="8">
        <v>46294</v>
      </c>
      <c r="S11" s="8"/>
      <c r="T11" s="7"/>
      <c r="U11" s="1" t="s">
        <v>22</v>
      </c>
      <c r="V11" s="8"/>
      <c r="W11" s="1" t="s">
        <v>40</v>
      </c>
    </row>
    <row r="12" spans="1:23">
      <c r="A12" s="10" t="s">
        <v>78</v>
      </c>
      <c r="B12" s="1" t="s">
        <v>50</v>
      </c>
      <c r="C12" s="1" t="s">
        <v>24</v>
      </c>
      <c r="D12" s="8">
        <v>46305</v>
      </c>
      <c r="E12" s="8">
        <v>46282</v>
      </c>
      <c r="F12" s="1" t="s">
        <v>26</v>
      </c>
      <c r="G12" s="1" t="s">
        <v>27</v>
      </c>
      <c r="H12" s="1" t="s">
        <v>21</v>
      </c>
      <c r="I12" s="1" t="s">
        <v>49</v>
      </c>
      <c r="J12" s="1">
        <v>3</v>
      </c>
      <c r="K12" s="1">
        <v>2100</v>
      </c>
      <c r="L12" s="1"/>
      <c r="M12" s="1">
        <v>7850</v>
      </c>
      <c r="N12" s="1"/>
      <c r="O12" s="1">
        <f>J12*M12+Table1[[#This Row],[Extra]]</f>
        <v>23550</v>
      </c>
      <c r="P12" s="1">
        <f t="shared" ca="1" si="0"/>
        <v>3</v>
      </c>
      <c r="Q12" s="1" t="str">
        <f ca="1">IF(Table1[[#This Row],[Days]]&gt;=0,"Discharged","")</f>
        <v>Discharged</v>
      </c>
      <c r="R12" s="8">
        <v>46294</v>
      </c>
      <c r="S12" s="8"/>
      <c r="T12" s="7"/>
      <c r="U12" s="1" t="s">
        <v>22</v>
      </c>
      <c r="V12" s="8"/>
      <c r="W12" s="1" t="s">
        <v>40</v>
      </c>
    </row>
    <row r="13" spans="1:23">
      <c r="A13" s="10" t="s">
        <v>85</v>
      </c>
      <c r="B13" s="1" t="s">
        <v>50</v>
      </c>
      <c r="C13" s="1" t="s">
        <v>24</v>
      </c>
      <c r="D13" s="8">
        <v>46305</v>
      </c>
      <c r="E13" s="8">
        <v>46283</v>
      </c>
      <c r="F13" s="1" t="s">
        <v>52</v>
      </c>
      <c r="G13" s="1" t="s">
        <v>27</v>
      </c>
      <c r="H13" s="1" t="s">
        <v>31</v>
      </c>
      <c r="I13" s="1" t="s">
        <v>23</v>
      </c>
      <c r="J13" s="1">
        <v>3</v>
      </c>
      <c r="K13" s="1">
        <v>2086</v>
      </c>
      <c r="L13" s="1">
        <v>67263.08</v>
      </c>
      <c r="M13" s="1">
        <v>7980</v>
      </c>
      <c r="N13" s="1"/>
      <c r="O13" s="1">
        <f>J13*M13+Table1[[#This Row],[Extra]]</f>
        <v>23940</v>
      </c>
      <c r="P13" s="1">
        <f t="shared" ca="1" si="0"/>
        <v>3</v>
      </c>
      <c r="Q13" s="1" t="str">
        <f ca="1">IF(Table1[[#This Row],[Days]]&gt;=0,"Discharged","")</f>
        <v>Discharged</v>
      </c>
      <c r="R13" s="8"/>
      <c r="S13" s="8"/>
      <c r="T13" s="7" t="s">
        <v>53</v>
      </c>
      <c r="U13" s="1" t="s">
        <v>51</v>
      </c>
      <c r="V13" s="8">
        <v>46304</v>
      </c>
      <c r="W13" s="1" t="s">
        <v>40</v>
      </c>
    </row>
    <row r="14" spans="1:23">
      <c r="A14" s="10" t="s">
        <v>86</v>
      </c>
      <c r="B14" s="1" t="s">
        <v>50</v>
      </c>
      <c r="C14" s="1" t="s">
        <v>24</v>
      </c>
      <c r="D14" s="8">
        <v>46305</v>
      </c>
      <c r="E14" s="8">
        <v>46283</v>
      </c>
      <c r="F14" s="1" t="s">
        <v>52</v>
      </c>
      <c r="G14" s="1" t="s">
        <v>27</v>
      </c>
      <c r="H14" s="1" t="s">
        <v>31</v>
      </c>
      <c r="I14" s="1" t="s">
        <v>23</v>
      </c>
      <c r="J14" s="1">
        <v>3</v>
      </c>
      <c r="K14" s="1">
        <v>586</v>
      </c>
      <c r="L14" s="1">
        <v>120595.4</v>
      </c>
      <c r="M14" s="1">
        <v>7980</v>
      </c>
      <c r="N14" s="1"/>
      <c r="O14" s="1">
        <f>J14*M14+Table1[[#This Row],[Extra]]</f>
        <v>23940</v>
      </c>
      <c r="P14" s="1">
        <f t="shared" ca="1" si="0"/>
        <v>3</v>
      </c>
      <c r="Q14" s="1" t="str">
        <f ca="1">IF(Table1[[#This Row],[Days]]&gt;=0,"Discharged","")</f>
        <v>Discharged</v>
      </c>
      <c r="R14" s="8"/>
      <c r="S14" s="8"/>
      <c r="T14" s="7" t="s">
        <v>53</v>
      </c>
      <c r="U14" s="1" t="s">
        <v>51</v>
      </c>
      <c r="V14" s="8">
        <v>46304</v>
      </c>
      <c r="W14" s="1" t="s">
        <v>40</v>
      </c>
    </row>
    <row r="15" spans="1:23">
      <c r="A15" s="10" t="s">
        <v>87</v>
      </c>
      <c r="B15" s="1" t="s">
        <v>50</v>
      </c>
      <c r="C15" s="1" t="s">
        <v>24</v>
      </c>
      <c r="D15" s="8">
        <v>46305</v>
      </c>
      <c r="E15" s="8">
        <v>46283</v>
      </c>
      <c r="F15" s="1" t="s">
        <v>52</v>
      </c>
      <c r="G15" s="1" t="s">
        <v>27</v>
      </c>
      <c r="H15" s="1" t="s">
        <v>31</v>
      </c>
      <c r="I15" s="1" t="s">
        <v>23</v>
      </c>
      <c r="J15" s="1">
        <v>1</v>
      </c>
      <c r="K15" s="1">
        <v>201</v>
      </c>
      <c r="L15" s="1">
        <v>45186.1</v>
      </c>
      <c r="M15" s="1">
        <v>7980</v>
      </c>
      <c r="N15" s="1"/>
      <c r="O15" s="1">
        <f>J15*M15+Table1[[#This Row],[Extra]]</f>
        <v>7980</v>
      </c>
      <c r="P15" s="1">
        <f t="shared" ca="1" si="0"/>
        <v>3</v>
      </c>
      <c r="Q15" s="1" t="str">
        <f ca="1">IF(Table1[[#This Row],[Days]]&gt;=0,"Discharged","")</f>
        <v>Discharged</v>
      </c>
      <c r="R15" s="8"/>
      <c r="S15" s="8"/>
      <c r="T15" s="7" t="s">
        <v>53</v>
      </c>
      <c r="U15" s="1" t="s">
        <v>51</v>
      </c>
      <c r="V15" s="8">
        <v>46304</v>
      </c>
      <c r="W15" s="1" t="s">
        <v>40</v>
      </c>
    </row>
    <row r="16" spans="1:23">
      <c r="A16" s="10" t="s">
        <v>83</v>
      </c>
      <c r="B16" s="1" t="s">
        <v>50</v>
      </c>
      <c r="C16" s="1" t="s">
        <v>24</v>
      </c>
      <c r="D16" s="8">
        <v>46305</v>
      </c>
      <c r="E16" s="8">
        <v>46288</v>
      </c>
      <c r="F16" s="1" t="s">
        <v>34</v>
      </c>
      <c r="G16" s="1" t="s">
        <v>27</v>
      </c>
      <c r="H16" s="1" t="s">
        <v>35</v>
      </c>
      <c r="I16" s="1" t="s">
        <v>23</v>
      </c>
      <c r="J16" s="1">
        <v>3</v>
      </c>
      <c r="K16" s="1">
        <v>1720</v>
      </c>
      <c r="L16" s="1">
        <v>90248.9</v>
      </c>
      <c r="M16" s="1">
        <v>8800</v>
      </c>
      <c r="N16" s="1"/>
      <c r="O16" s="1">
        <f>J16*M16+Table1[[#This Row],[Extra]]</f>
        <v>26400</v>
      </c>
      <c r="P16" s="1">
        <f t="shared" ca="1" si="0"/>
        <v>3</v>
      </c>
      <c r="Q16" s="1" t="str">
        <f ca="1">IF(Table1[[#This Row],[Days]]&gt;=0,"Discharged","")</f>
        <v>Discharged</v>
      </c>
      <c r="R16" s="8"/>
      <c r="S16" s="8" t="s">
        <v>95</v>
      </c>
      <c r="T16" s="7" t="s">
        <v>45</v>
      </c>
      <c r="U16" s="1" t="s">
        <v>32</v>
      </c>
      <c r="V16" s="8"/>
      <c r="W16" s="1"/>
    </row>
    <row r="17" spans="1:23">
      <c r="A17" s="10" t="s">
        <v>84</v>
      </c>
      <c r="B17" s="1" t="s">
        <v>50</v>
      </c>
      <c r="C17" s="1" t="s">
        <v>24</v>
      </c>
      <c r="D17" s="8">
        <v>46305</v>
      </c>
      <c r="E17" s="8">
        <v>46288</v>
      </c>
      <c r="F17" s="1" t="s">
        <v>34</v>
      </c>
      <c r="G17" s="1" t="s">
        <v>27</v>
      </c>
      <c r="H17" s="1" t="s">
        <v>35</v>
      </c>
      <c r="I17" s="1" t="s">
        <v>23</v>
      </c>
      <c r="J17" s="1">
        <v>4</v>
      </c>
      <c r="K17" s="1">
        <v>2621</v>
      </c>
      <c r="L17" s="1">
        <v>120065.35</v>
      </c>
      <c r="M17" s="1">
        <v>8800</v>
      </c>
      <c r="N17" s="1"/>
      <c r="O17" s="1">
        <f>J17*M17+Table1[[#This Row],[Extra]]</f>
        <v>35200</v>
      </c>
      <c r="P17" s="1">
        <f t="shared" ca="1" si="0"/>
        <v>3</v>
      </c>
      <c r="Q17" s="1" t="str">
        <f ca="1">IF(Table1[[#This Row],[Days]]&gt;=0,"Discharged","")</f>
        <v>Discharged</v>
      </c>
      <c r="R17" s="8"/>
      <c r="S17" s="8" t="s">
        <v>95</v>
      </c>
      <c r="T17" s="7" t="s">
        <v>45</v>
      </c>
      <c r="U17" s="1" t="s">
        <v>32</v>
      </c>
      <c r="V17" s="8"/>
      <c r="W17" s="1"/>
    </row>
    <row r="18" spans="1:23">
      <c r="A18" s="10" t="s">
        <v>88</v>
      </c>
      <c r="B18" s="1" t="s">
        <v>50</v>
      </c>
      <c r="C18" s="1" t="s">
        <v>24</v>
      </c>
      <c r="D18" s="8">
        <v>46305</v>
      </c>
      <c r="E18" s="8">
        <v>46292</v>
      </c>
      <c r="F18" s="1" t="s">
        <v>34</v>
      </c>
      <c r="G18" s="1" t="s">
        <v>27</v>
      </c>
      <c r="H18" s="1" t="s">
        <v>35</v>
      </c>
      <c r="I18" s="1" t="s">
        <v>23</v>
      </c>
      <c r="J18" s="1">
        <v>3</v>
      </c>
      <c r="K18" s="1">
        <v>2190</v>
      </c>
      <c r="L18" s="1">
        <v>89703.32</v>
      </c>
      <c r="M18" s="1">
        <v>8800</v>
      </c>
      <c r="N18" s="1"/>
      <c r="O18" s="1">
        <f>J18*M18+Table1[[#This Row],[Extra]]</f>
        <v>26400</v>
      </c>
      <c r="P18" s="1">
        <f t="shared" ca="1" si="0"/>
        <v>3</v>
      </c>
      <c r="Q18" s="1" t="str">
        <f ca="1">IF(Table1[[#This Row],[Days]]&gt;=0,"Discharged","")</f>
        <v>Discharged</v>
      </c>
      <c r="R18" s="8"/>
      <c r="S18" s="8" t="s">
        <v>95</v>
      </c>
      <c r="T18" s="7" t="s">
        <v>45</v>
      </c>
      <c r="U18" s="1" t="s">
        <v>32</v>
      </c>
      <c r="V18" s="8"/>
      <c r="W18" s="1"/>
    </row>
    <row r="19" spans="1:23">
      <c r="A19" s="10" t="s">
        <v>89</v>
      </c>
      <c r="B19" s="1" t="s">
        <v>50</v>
      </c>
      <c r="C19" s="1" t="s">
        <v>24</v>
      </c>
      <c r="D19" s="8">
        <v>46305</v>
      </c>
      <c r="E19" s="8">
        <v>46292</v>
      </c>
      <c r="F19" s="1" t="s">
        <v>34</v>
      </c>
      <c r="G19" s="1" t="s">
        <v>27</v>
      </c>
      <c r="H19" s="1" t="s">
        <v>35</v>
      </c>
      <c r="I19" s="1" t="s">
        <v>23</v>
      </c>
      <c r="J19" s="1">
        <v>4</v>
      </c>
      <c r="K19" s="1">
        <v>909</v>
      </c>
      <c r="L19" s="1">
        <v>135489.19</v>
      </c>
      <c r="M19" s="1">
        <v>8800</v>
      </c>
      <c r="N19" s="1"/>
      <c r="O19" s="1">
        <f>J19*M19+Table1[[#This Row],[Extra]]</f>
        <v>35200</v>
      </c>
      <c r="P19" s="1">
        <f t="shared" ca="1" si="0"/>
        <v>3</v>
      </c>
      <c r="Q19" s="1" t="str">
        <f ca="1">IF(Table1[[#This Row],[Days]]&gt;=0,"Discharged","")</f>
        <v>Discharged</v>
      </c>
      <c r="R19" s="8"/>
      <c r="S19" s="8" t="s">
        <v>95</v>
      </c>
      <c r="T19" s="7" t="s">
        <v>45</v>
      </c>
      <c r="U19" s="1" t="s">
        <v>32</v>
      </c>
      <c r="V19" s="8"/>
      <c r="W19" s="1"/>
    </row>
    <row r="20" spans="1:23">
      <c r="A20" s="10" t="s">
        <v>64</v>
      </c>
      <c r="B20" s="1"/>
      <c r="C20" s="1" t="s">
        <v>24</v>
      </c>
      <c r="D20" s="8">
        <v>46305</v>
      </c>
      <c r="E20" s="8"/>
      <c r="F20" s="1" t="s">
        <v>38</v>
      </c>
      <c r="G20" s="1" t="s">
        <v>28</v>
      </c>
      <c r="H20" s="1" t="s">
        <v>21</v>
      </c>
      <c r="I20" s="1" t="s">
        <v>29</v>
      </c>
      <c r="J20" s="1">
        <v>7</v>
      </c>
      <c r="K20" s="1">
        <v>3954</v>
      </c>
      <c r="L20" s="11">
        <v>249284.33</v>
      </c>
      <c r="M20" s="1">
        <v>7800</v>
      </c>
      <c r="N20" s="1"/>
      <c r="O20" s="1">
        <f>J20*M20+Table1[[#This Row],[Extra]]</f>
        <v>54600</v>
      </c>
      <c r="P20" s="1">
        <f t="shared" ca="1" si="0"/>
        <v>3</v>
      </c>
      <c r="Q20" s="1" t="str">
        <f ca="1">IF(Table1[[#This Row],[Days]]&gt;=0,"Discharged","")</f>
        <v>Discharged</v>
      </c>
      <c r="R20" s="8"/>
      <c r="S20" s="8" t="s">
        <v>95</v>
      </c>
      <c r="T20" s="7" t="s">
        <v>45</v>
      </c>
      <c r="U20" s="1" t="s">
        <v>37</v>
      </c>
      <c r="V20" s="8"/>
      <c r="W20" s="1" t="s">
        <v>41</v>
      </c>
    </row>
    <row r="21" spans="1:23">
      <c r="A21" s="10" t="s">
        <v>70</v>
      </c>
      <c r="B21" s="1"/>
      <c r="C21" s="1" t="s">
        <v>24</v>
      </c>
      <c r="D21" s="8">
        <v>46305</v>
      </c>
      <c r="E21" s="8"/>
      <c r="F21" s="1" t="s">
        <v>38</v>
      </c>
      <c r="G21" s="1" t="s">
        <v>28</v>
      </c>
      <c r="H21" s="1" t="s">
        <v>21</v>
      </c>
      <c r="I21" s="1" t="s">
        <v>29</v>
      </c>
      <c r="J21" s="1">
        <v>5</v>
      </c>
      <c r="K21" s="1">
        <v>1896</v>
      </c>
      <c r="L21" s="11">
        <v>170418.52</v>
      </c>
      <c r="M21" s="1">
        <v>7800</v>
      </c>
      <c r="N21" s="1"/>
      <c r="O21" s="1">
        <f>J21*M21+Table1[[#This Row],[Extra]]</f>
        <v>39000</v>
      </c>
      <c r="P21" s="1">
        <f t="shared" ca="1" si="0"/>
        <v>3</v>
      </c>
      <c r="Q21" s="1" t="str">
        <f ca="1">IF(Table1[[#This Row],[Days]]&gt;=0,"Discharged","")</f>
        <v>Discharged</v>
      </c>
      <c r="R21" s="8"/>
      <c r="S21" s="8" t="s">
        <v>95</v>
      </c>
      <c r="T21" s="7" t="s">
        <v>45</v>
      </c>
      <c r="U21" s="1" t="s">
        <v>37</v>
      </c>
      <c r="V21" s="8"/>
      <c r="W21" s="1" t="s">
        <v>41</v>
      </c>
    </row>
    <row r="22" spans="1:23">
      <c r="A22" s="10" t="s">
        <v>71</v>
      </c>
      <c r="B22" s="1"/>
      <c r="C22" s="1" t="s">
        <v>24</v>
      </c>
      <c r="D22" s="8">
        <v>46305</v>
      </c>
      <c r="E22" s="8"/>
      <c r="F22" s="1" t="s">
        <v>38</v>
      </c>
      <c r="G22" s="1" t="s">
        <v>28</v>
      </c>
      <c r="H22" s="1" t="s">
        <v>21</v>
      </c>
      <c r="I22" s="1" t="s">
        <v>29</v>
      </c>
      <c r="J22" s="1">
        <v>6</v>
      </c>
      <c r="K22" s="1">
        <v>2528</v>
      </c>
      <c r="L22" s="11">
        <v>206860.1</v>
      </c>
      <c r="M22" s="1">
        <v>7800</v>
      </c>
      <c r="N22" s="1"/>
      <c r="O22" s="1">
        <f>J22*M22+Table1[[#This Row],[Extra]]</f>
        <v>46800</v>
      </c>
      <c r="P22" s="1">
        <f t="shared" ca="1" si="0"/>
        <v>3</v>
      </c>
      <c r="Q22" s="1" t="str">
        <f ca="1">IF(Table1[[#This Row],[Days]]&gt;=0,"Discharged","")</f>
        <v>Discharged</v>
      </c>
      <c r="R22" s="8"/>
      <c r="S22" s="8" t="s">
        <v>95</v>
      </c>
      <c r="T22" s="7" t="s">
        <v>45</v>
      </c>
      <c r="U22" s="1" t="s">
        <v>37</v>
      </c>
      <c r="V22" s="8"/>
      <c r="W22" s="1" t="s">
        <v>41</v>
      </c>
    </row>
    <row r="23" spans="1:23">
      <c r="A23" s="10" t="s">
        <v>56</v>
      </c>
      <c r="B23" s="1" t="s">
        <v>25</v>
      </c>
      <c r="C23" s="1" t="s">
        <v>39</v>
      </c>
      <c r="D23" s="8">
        <v>46306</v>
      </c>
      <c r="E23" s="8">
        <v>46243</v>
      </c>
      <c r="F23" s="1" t="s">
        <v>34</v>
      </c>
      <c r="G23" s="1" t="s">
        <v>27</v>
      </c>
      <c r="H23" s="1" t="s">
        <v>35</v>
      </c>
      <c r="I23" s="1" t="s">
        <v>23</v>
      </c>
      <c r="J23" s="1">
        <v>4</v>
      </c>
      <c r="K23" s="1">
        <v>3278</v>
      </c>
      <c r="L23" s="1">
        <v>127750.42999999998</v>
      </c>
      <c r="M23" s="1">
        <v>6800</v>
      </c>
      <c r="N23" s="1"/>
      <c r="O23" s="1">
        <f>J23*M23+Table1[[#This Row],[Extra]]</f>
        <v>27200</v>
      </c>
      <c r="P23" s="1">
        <f t="shared" ca="1" si="0"/>
        <v>2</v>
      </c>
      <c r="Q23" s="1" t="str">
        <f ca="1">IF(Table1[[#This Row],[Days]]&gt;=0,"Discharged","")</f>
        <v>Discharged</v>
      </c>
      <c r="R23" s="8">
        <v>46287</v>
      </c>
      <c r="S23" s="8" t="s">
        <v>77</v>
      </c>
      <c r="T23" s="7" t="s">
        <v>45</v>
      </c>
      <c r="U23" s="1" t="s">
        <v>32</v>
      </c>
      <c r="V23" s="8"/>
      <c r="W23" s="1" t="s">
        <v>40</v>
      </c>
    </row>
    <row r="24" spans="1:23">
      <c r="A24" s="10" t="s">
        <v>57</v>
      </c>
      <c r="B24" s="1" t="s">
        <v>47</v>
      </c>
      <c r="C24" s="1" t="s">
        <v>39</v>
      </c>
      <c r="D24" s="8">
        <v>46306</v>
      </c>
      <c r="E24" s="8">
        <v>46252</v>
      </c>
      <c r="F24" s="1" t="s">
        <v>34</v>
      </c>
      <c r="G24" s="1" t="s">
        <v>27</v>
      </c>
      <c r="H24" s="1" t="s">
        <v>21</v>
      </c>
      <c r="I24" s="1" t="s">
        <v>23</v>
      </c>
      <c r="J24" s="1">
        <v>5</v>
      </c>
      <c r="K24" s="1">
        <v>1844</v>
      </c>
      <c r="L24" s="11">
        <v>159909.93</v>
      </c>
      <c r="M24" s="1">
        <v>7950</v>
      </c>
      <c r="N24" s="1"/>
      <c r="O24" s="1">
        <f>J24*M24+Table1[[#This Row],[Extra]]</f>
        <v>39750</v>
      </c>
      <c r="P24" s="1">
        <f t="shared" ca="1" si="0"/>
        <v>2</v>
      </c>
      <c r="Q24" s="1" t="str">
        <f ca="1">IF(Table1[[#This Row],[Days]]&gt;=0,"Discharged","")</f>
        <v>Discharged</v>
      </c>
      <c r="R24" s="8">
        <v>46280</v>
      </c>
      <c r="S24" s="8" t="s">
        <v>77</v>
      </c>
      <c r="T24" s="7" t="s">
        <v>45</v>
      </c>
      <c r="U24" s="1" t="s">
        <v>32</v>
      </c>
      <c r="V24" s="8"/>
      <c r="W24" s="1" t="s">
        <v>40</v>
      </c>
    </row>
    <row r="25" spans="1:23">
      <c r="A25" s="10" t="s">
        <v>61</v>
      </c>
      <c r="B25" s="1" t="s">
        <v>47</v>
      </c>
      <c r="C25" s="1" t="s">
        <v>24</v>
      </c>
      <c r="D25" s="8">
        <v>46307</v>
      </c>
      <c r="E25" s="8">
        <v>46250</v>
      </c>
      <c r="F25" s="1" t="s">
        <v>44</v>
      </c>
      <c r="G25" s="1" t="s">
        <v>28</v>
      </c>
      <c r="H25" s="1" t="s">
        <v>46</v>
      </c>
      <c r="I25" s="1" t="s">
        <v>48</v>
      </c>
      <c r="J25" s="1">
        <v>4</v>
      </c>
      <c r="K25" s="1">
        <v>839</v>
      </c>
      <c r="L25" s="1">
        <v>92572</v>
      </c>
      <c r="M25" s="1">
        <v>8300</v>
      </c>
      <c r="N25" s="1"/>
      <c r="O25" s="1">
        <f>J25*M25+Table1[[#This Row],[Extra]]</f>
        <v>33200</v>
      </c>
      <c r="P25" s="1">
        <f t="shared" ca="1" si="0"/>
        <v>1</v>
      </c>
      <c r="Q25" s="1" t="str">
        <f ca="1">IF(Table1[[#This Row],[Days]]&gt;=0,"Discharged","")</f>
        <v>Discharged</v>
      </c>
      <c r="R25" s="8">
        <v>46261</v>
      </c>
      <c r="S25" s="8"/>
      <c r="T25" s="7"/>
      <c r="U25" s="1" t="s">
        <v>43</v>
      </c>
      <c r="V25" s="8"/>
      <c r="W25" s="1"/>
    </row>
    <row r="26" spans="1:23">
      <c r="A26" s="10" t="s">
        <v>62</v>
      </c>
      <c r="B26" s="1" t="s">
        <v>47</v>
      </c>
      <c r="C26" s="1" t="s">
        <v>24</v>
      </c>
      <c r="D26" s="8">
        <v>46307</v>
      </c>
      <c r="E26" s="8">
        <v>46250</v>
      </c>
      <c r="F26" s="1" t="s">
        <v>44</v>
      </c>
      <c r="G26" s="1" t="s">
        <v>28</v>
      </c>
      <c r="H26" s="1" t="s">
        <v>46</v>
      </c>
      <c r="I26" s="1" t="s">
        <v>48</v>
      </c>
      <c r="J26" s="1">
        <v>6</v>
      </c>
      <c r="K26" s="1">
        <v>1380</v>
      </c>
      <c r="L26" s="1">
        <v>136029</v>
      </c>
      <c r="M26" s="1">
        <v>8300</v>
      </c>
      <c r="N26" s="1"/>
      <c r="O26" s="1">
        <f>J26*M26+Table1[[#This Row],[Extra]]</f>
        <v>49800</v>
      </c>
      <c r="P26" s="1">
        <f t="shared" ca="1" si="0"/>
        <v>1</v>
      </c>
      <c r="Q26" s="1" t="str">
        <f ca="1">IF(Table1[[#This Row],[Days]]&gt;=0,"Discharged","")</f>
        <v>Discharged</v>
      </c>
      <c r="R26" s="8">
        <v>46261</v>
      </c>
      <c r="S26" s="8"/>
      <c r="T26" s="7"/>
      <c r="U26" s="1" t="s">
        <v>43</v>
      </c>
      <c r="V26" s="8"/>
      <c r="W26" s="1"/>
    </row>
    <row r="27" spans="1:23">
      <c r="A27" s="10" t="s">
        <v>65</v>
      </c>
      <c r="B27" s="1" t="s">
        <v>30</v>
      </c>
      <c r="C27" s="1" t="s">
        <v>39</v>
      </c>
      <c r="D27" s="8">
        <v>46307</v>
      </c>
      <c r="E27" s="8">
        <v>46263</v>
      </c>
      <c r="F27" s="1" t="s">
        <v>58</v>
      </c>
      <c r="G27" s="1" t="s">
        <v>27</v>
      </c>
      <c r="H27" s="1" t="s">
        <v>66</v>
      </c>
      <c r="I27" s="1" t="s">
        <v>60</v>
      </c>
      <c r="J27" s="1">
        <v>2</v>
      </c>
      <c r="K27" s="1">
        <v>1476</v>
      </c>
      <c r="L27" s="1">
        <v>95989.32</v>
      </c>
      <c r="M27" s="1"/>
      <c r="N27" s="1">
        <v>6098</v>
      </c>
      <c r="O27" s="1">
        <f>J27*M27+Table1[[#This Row],[Extra]]</f>
        <v>6098</v>
      </c>
      <c r="P27" s="1">
        <f t="shared" ca="1" si="0"/>
        <v>1</v>
      </c>
      <c r="Q27" s="1" t="str">
        <f ca="1">IF(Table1[[#This Row],[Days]]&gt;=0,"Discharged","")</f>
        <v>Discharged</v>
      </c>
      <c r="R27" s="8">
        <v>46279</v>
      </c>
      <c r="S27" s="8"/>
      <c r="T27" s="7"/>
      <c r="U27" s="1" t="s">
        <v>59</v>
      </c>
      <c r="V27" s="8"/>
      <c r="W27" s="1" t="s">
        <v>40</v>
      </c>
    </row>
    <row r="28" spans="1:23">
      <c r="A28" s="10" t="s">
        <v>55</v>
      </c>
      <c r="B28" s="1" t="s">
        <v>47</v>
      </c>
      <c r="C28" s="1" t="s">
        <v>39</v>
      </c>
      <c r="D28" s="8">
        <v>46308</v>
      </c>
      <c r="E28" s="8">
        <v>46239</v>
      </c>
      <c r="F28" s="1" t="s">
        <v>34</v>
      </c>
      <c r="G28" s="1" t="s">
        <v>27</v>
      </c>
      <c r="H28" s="1" t="s">
        <v>21</v>
      </c>
      <c r="I28" s="1" t="s">
        <v>23</v>
      </c>
      <c r="J28" s="1">
        <v>6</v>
      </c>
      <c r="K28" s="1">
        <v>1254</v>
      </c>
      <c r="L28" s="11">
        <v>171577.08</v>
      </c>
      <c r="M28" s="1">
        <v>7300</v>
      </c>
      <c r="N28" s="1"/>
      <c r="O28" s="1">
        <f>J28*M28+Table1[[#This Row],[Extra]]</f>
        <v>43800</v>
      </c>
      <c r="P28" s="1">
        <f t="shared" ca="1" si="0"/>
        <v>0</v>
      </c>
      <c r="Q28" s="1" t="str">
        <f ca="1">IF(Table1[[#This Row],[Days]]&gt;=0,"Discharged","")</f>
        <v>Discharged</v>
      </c>
      <c r="R28" s="8"/>
      <c r="S28" s="8" t="s">
        <v>77</v>
      </c>
      <c r="T28" s="7" t="s">
        <v>45</v>
      </c>
      <c r="U28" s="1" t="s">
        <v>32</v>
      </c>
      <c r="V28" s="8"/>
      <c r="W28" s="1" t="s">
        <v>40</v>
      </c>
    </row>
    <row r="29" spans="1:23">
      <c r="A29" s="10" t="s">
        <v>93</v>
      </c>
      <c r="B29" s="1" t="s">
        <v>30</v>
      </c>
      <c r="C29" s="1" t="s">
        <v>39</v>
      </c>
      <c r="D29" s="8">
        <v>46309</v>
      </c>
      <c r="E29" s="8">
        <v>46281</v>
      </c>
      <c r="F29" s="1" t="s">
        <v>58</v>
      </c>
      <c r="G29" s="1" t="s">
        <v>27</v>
      </c>
      <c r="H29" s="1" t="s">
        <v>66</v>
      </c>
      <c r="I29" s="1" t="s">
        <v>60</v>
      </c>
      <c r="J29" s="1">
        <v>1</v>
      </c>
      <c r="K29" s="1">
        <v>644</v>
      </c>
      <c r="L29" s="1">
        <v>42236.68</v>
      </c>
      <c r="M29" s="1"/>
      <c r="N29" s="1">
        <v>3049</v>
      </c>
      <c r="O29" s="1">
        <f>J29*M29+Table1[[#This Row],[Extra]]</f>
        <v>3049</v>
      </c>
      <c r="P29" s="1">
        <f t="shared" ca="1" si="0"/>
        <v>-1</v>
      </c>
      <c r="Q29" s="1" t="str">
        <f ca="1">IF(Table1[[#This Row],[Days]]&gt;=0,"Discharged","")</f>
        <v/>
      </c>
      <c r="R29" s="8">
        <v>46298</v>
      </c>
      <c r="S29" s="8"/>
      <c r="T29" s="7"/>
      <c r="U29" s="1" t="s">
        <v>59</v>
      </c>
      <c r="V29" s="8"/>
      <c r="W29" s="1" t="s">
        <v>40</v>
      </c>
    </row>
    <row r="30" spans="1:23">
      <c r="A30" s="10" t="s">
        <v>82</v>
      </c>
      <c r="B30" s="1" t="s">
        <v>25</v>
      </c>
      <c r="C30" s="1" t="s">
        <v>39</v>
      </c>
      <c r="D30" s="8">
        <v>46309</v>
      </c>
      <c r="E30" s="8">
        <v>46283</v>
      </c>
      <c r="F30" s="1" t="s">
        <v>33</v>
      </c>
      <c r="G30" s="1" t="s">
        <v>54</v>
      </c>
      <c r="H30" s="1" t="s">
        <v>35</v>
      </c>
      <c r="I30" s="1" t="s">
        <v>36</v>
      </c>
      <c r="J30" s="1">
        <v>1</v>
      </c>
      <c r="K30" s="1">
        <v>734</v>
      </c>
      <c r="L30" s="1">
        <v>27868.16</v>
      </c>
      <c r="M30" s="1">
        <v>11000</v>
      </c>
      <c r="N30" s="1"/>
      <c r="O30" s="1">
        <f>J30*M30+Table1[[#This Row],[Extra]]</f>
        <v>11000</v>
      </c>
      <c r="P30" s="1">
        <f t="shared" ca="1" si="0"/>
        <v>-1</v>
      </c>
      <c r="Q30" s="1" t="str">
        <f ca="1">IF(Table1[[#This Row],[Days]]&gt;=0,"Discharged","")</f>
        <v/>
      </c>
      <c r="R30" s="8"/>
      <c r="S30" s="8" t="s">
        <v>95</v>
      </c>
      <c r="T30" s="7" t="s">
        <v>45</v>
      </c>
      <c r="U30" s="1" t="s">
        <v>32</v>
      </c>
      <c r="V30" s="8"/>
      <c r="W30" s="1" t="s">
        <v>41</v>
      </c>
    </row>
    <row r="31" spans="1:23">
      <c r="A31" s="10" t="s">
        <v>80</v>
      </c>
      <c r="B31" s="1" t="s">
        <v>25</v>
      </c>
      <c r="C31" s="1" t="s">
        <v>39</v>
      </c>
      <c r="D31" s="8">
        <v>46309</v>
      </c>
      <c r="E31" s="8">
        <v>46283</v>
      </c>
      <c r="F31" s="1" t="s">
        <v>33</v>
      </c>
      <c r="G31" s="1" t="s">
        <v>54</v>
      </c>
      <c r="H31" s="1" t="s">
        <v>35</v>
      </c>
      <c r="I31" s="1" t="s">
        <v>36</v>
      </c>
      <c r="J31" s="1">
        <v>3</v>
      </c>
      <c r="K31" s="1">
        <v>2154</v>
      </c>
      <c r="L31" s="1">
        <v>88375.7</v>
      </c>
      <c r="M31" s="1">
        <v>11000</v>
      </c>
      <c r="N31" s="1"/>
      <c r="O31" s="1">
        <f>J31*M31+Table1[[#This Row],[Extra]]</f>
        <v>33000</v>
      </c>
      <c r="P31" s="1">
        <f t="shared" ca="1" si="0"/>
        <v>-1</v>
      </c>
      <c r="Q31" s="1" t="str">
        <f ca="1">IF(Table1[[#This Row],[Days]]&gt;=0,"Discharged","")</f>
        <v/>
      </c>
      <c r="R31" s="8"/>
      <c r="S31" s="8" t="s">
        <v>95</v>
      </c>
      <c r="T31" s="7" t="s">
        <v>45</v>
      </c>
      <c r="U31" s="1" t="s">
        <v>32</v>
      </c>
      <c r="V31" s="8"/>
      <c r="W31" s="1" t="s">
        <v>41</v>
      </c>
    </row>
    <row r="32" spans="1:23">
      <c r="A32" s="10" t="s">
        <v>81</v>
      </c>
      <c r="B32" s="1" t="s">
        <v>25</v>
      </c>
      <c r="C32" s="1" t="s">
        <v>39</v>
      </c>
      <c r="D32" s="8">
        <v>46309</v>
      </c>
      <c r="E32" s="8">
        <v>46283</v>
      </c>
      <c r="F32" s="1" t="s">
        <v>33</v>
      </c>
      <c r="G32" s="1" t="s">
        <v>54</v>
      </c>
      <c r="H32" s="1" t="s">
        <v>35</v>
      </c>
      <c r="I32" s="1" t="s">
        <v>36</v>
      </c>
      <c r="J32" s="1">
        <v>3</v>
      </c>
      <c r="K32" s="1">
        <v>2145</v>
      </c>
      <c r="L32" s="1">
        <v>85221.41</v>
      </c>
      <c r="M32" s="1">
        <v>11000</v>
      </c>
      <c r="N32" s="1"/>
      <c r="O32" s="1">
        <f>J32*M32+Table1[[#This Row],[Extra]]</f>
        <v>33000</v>
      </c>
      <c r="P32" s="1">
        <f t="shared" ca="1" si="0"/>
        <v>-1</v>
      </c>
      <c r="Q32" s="1" t="str">
        <f ca="1">IF(Table1[[#This Row],[Days]]&gt;=0,"Discharged","")</f>
        <v/>
      </c>
      <c r="R32" s="8"/>
      <c r="S32" s="8" t="s">
        <v>95</v>
      </c>
      <c r="T32" s="7" t="s">
        <v>45</v>
      </c>
      <c r="U32" s="1" t="s">
        <v>32</v>
      </c>
      <c r="V32" s="8"/>
      <c r="W32" s="1" t="s">
        <v>41</v>
      </c>
    </row>
    <row r="33" spans="1:23">
      <c r="A33" s="10" t="s">
        <v>91</v>
      </c>
      <c r="B33" s="1" t="s">
        <v>30</v>
      </c>
      <c r="C33" s="1" t="s">
        <v>39</v>
      </c>
      <c r="D33" s="8">
        <v>46309</v>
      </c>
      <c r="E33" s="8">
        <v>46285</v>
      </c>
      <c r="F33" s="1" t="s">
        <v>58</v>
      </c>
      <c r="G33" s="1" t="s">
        <v>27</v>
      </c>
      <c r="H33" s="1" t="s">
        <v>31</v>
      </c>
      <c r="I33" s="1" t="s">
        <v>60</v>
      </c>
      <c r="J33" s="1">
        <v>4</v>
      </c>
      <c r="K33" s="1">
        <v>2564</v>
      </c>
      <c r="L33" s="1">
        <v>152445.57999999999</v>
      </c>
      <c r="M33" s="1"/>
      <c r="N33" s="1">
        <v>9996</v>
      </c>
      <c r="O33" s="1">
        <f>J33*M33+Table1[[#This Row],[Extra]]</f>
        <v>9996</v>
      </c>
      <c r="P33" s="1">
        <f t="shared" ca="1" si="0"/>
        <v>-1</v>
      </c>
      <c r="Q33" s="1" t="str">
        <f ca="1">IF(Table1[[#This Row],[Days]]&gt;=0,"Discharged","")</f>
        <v/>
      </c>
      <c r="R33" s="8"/>
      <c r="S33" s="8"/>
      <c r="T33" s="7"/>
      <c r="U33" s="1" t="s">
        <v>59</v>
      </c>
      <c r="V33" s="8"/>
      <c r="W33" s="1" t="s">
        <v>94</v>
      </c>
    </row>
    <row r="34" spans="1:23">
      <c r="A34" s="10" t="s">
        <v>90</v>
      </c>
      <c r="B34" s="1" t="s">
        <v>30</v>
      </c>
      <c r="C34" s="1" t="s">
        <v>39</v>
      </c>
      <c r="D34" s="8">
        <v>46309</v>
      </c>
      <c r="E34" s="8">
        <v>46285</v>
      </c>
      <c r="F34" s="1" t="s">
        <v>58</v>
      </c>
      <c r="G34" s="1" t="s">
        <v>27</v>
      </c>
      <c r="H34" s="1" t="s">
        <v>31</v>
      </c>
      <c r="I34" s="1" t="s">
        <v>60</v>
      </c>
      <c r="J34" s="1">
        <v>2</v>
      </c>
      <c r="K34" s="1">
        <v>1092</v>
      </c>
      <c r="L34" s="1">
        <v>76587.149999999994</v>
      </c>
      <c r="M34" s="1"/>
      <c r="N34" s="1">
        <v>4998</v>
      </c>
      <c r="O34" s="1">
        <f>J34*M34+Table1[[#This Row],[Extra]]</f>
        <v>4998</v>
      </c>
      <c r="P34" s="1">
        <f t="shared" ca="1" si="0"/>
        <v>-1</v>
      </c>
      <c r="Q34" s="1" t="str">
        <f ca="1">IF(Table1[[#This Row],[Days]]&gt;=0,"Discharged","")</f>
        <v/>
      </c>
      <c r="R34" s="8"/>
      <c r="S34" s="8"/>
      <c r="T34" s="7"/>
      <c r="U34" s="1" t="s">
        <v>59</v>
      </c>
      <c r="V34" s="8"/>
      <c r="W34" s="1" t="s">
        <v>94</v>
      </c>
    </row>
    <row r="35" spans="1:23">
      <c r="A35" s="12">
        <f>SUBTOTAL(103,Table1[BL-BK-CT])</f>
        <v>33</v>
      </c>
      <c r="B35" s="1"/>
      <c r="C35" s="1"/>
      <c r="D35" s="7"/>
      <c r="E35" s="7"/>
      <c r="F35" s="1"/>
      <c r="G35" s="1"/>
      <c r="H35" s="1"/>
      <c r="I35" s="1"/>
      <c r="J35" s="12">
        <f>SUBTOTAL(109,Table1[VOL])</f>
        <v>126</v>
      </c>
      <c r="K35" s="12">
        <f>SUBTOTAL(109,Table1[QTY])</f>
        <v>69284</v>
      </c>
      <c r="L35" s="13">
        <f>SUBTOTAL(109,Table1[Amount])</f>
        <v>3854208.9700000007</v>
      </c>
      <c r="M35" s="1"/>
      <c r="N35" s="1"/>
      <c r="O35" s="13">
        <f>SUBTOTAL(109,Table1[Freight
Amt])</f>
        <v>978400</v>
      </c>
      <c r="P35" s="1"/>
      <c r="Q35" s="1"/>
      <c r="R35" s="12">
        <f>SUBTOTAL(103,Table1[Released])</f>
        <v>17</v>
      </c>
      <c r="S35" s="12"/>
      <c r="T35" s="12">
        <f>SUBTOTAL(103,Table1[Shipping])</f>
        <v>24</v>
      </c>
      <c r="U35" s="1"/>
      <c r="V35" s="12">
        <f>SUBTOTAL(103,Table1[Paid])</f>
        <v>3</v>
      </c>
      <c r="W35" s="12">
        <f>SUBTOTAL(103,Table1[Docs])</f>
        <v>22</v>
      </c>
    </row>
  </sheetData>
  <phoneticPr fontId="3" type="noConversion"/>
  <conditionalFormatting sqref="P2:P35">
    <cfRule type="cellIs" dxfId="1" priority="1" operator="greaterThan">
      <formula>9</formula>
    </cfRule>
  </conditionalFormatting>
  <conditionalFormatting sqref="Q2:Q35">
    <cfRule type="containsText" dxfId="0" priority="3" operator="containsText" text="Discharged">
      <formula>NOT(ISERROR(SEARCH("Discharged",Q2)))</formula>
    </cfRule>
  </conditionalFormatting>
  <printOptions horizontalCentered="1"/>
  <pageMargins left="0" right="0" top="0.75" bottom="0.75" header="0.3" footer="0.3"/>
  <pageSetup scale="61" fitToHeight="0" orientation="landscape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Shibli</dc:creator>
  <cp:lastModifiedBy>Hossam Shibli</cp:lastModifiedBy>
  <dcterms:created xsi:type="dcterms:W3CDTF">2023-12-04T12:07:48Z</dcterms:created>
  <dcterms:modified xsi:type="dcterms:W3CDTF">2026-10-13T10:17:20Z</dcterms:modified>
</cp:coreProperties>
</file>